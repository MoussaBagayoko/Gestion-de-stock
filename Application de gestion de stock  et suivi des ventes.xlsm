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enovo\Desktop\GST\"/>
    </mc:Choice>
  </mc:AlternateContent>
  <bookViews>
    <workbookView xWindow="0" yWindow="0" windowWidth="16815" windowHeight="10755" tabRatio="833" firstSheet="1" activeTab="8"/>
  </bookViews>
  <sheets>
    <sheet name="Accueil" sheetId="1" r:id="rId1"/>
    <sheet name="Fournisseurs" sheetId="2" r:id="rId2"/>
    <sheet name="Clients" sheetId="3" r:id="rId3"/>
    <sheet name="Articles" sheetId="4" r:id="rId4"/>
    <sheet name="Approvisionnement" sheetId="5" r:id="rId5"/>
    <sheet name="Vente" sheetId="6" r:id="rId6"/>
    <sheet name="Facture" sheetId="7" r:id="rId7"/>
    <sheet name="TransitionVente" sheetId="9" r:id="rId8"/>
    <sheet name="Calcul" sheetId="8" r:id="rId9"/>
    <sheet name="Facturation" sheetId="10" r:id="rId10"/>
  </sheets>
  <functionGroups builtInGroupCount="18"/>
  <definedNames>
    <definedName name="_xlnm.Print_Titles" localSheetId="9">Facturation!$10:$10</definedName>
    <definedName name="PHT">Calcul!$B$1</definedName>
    <definedName name="PTTC">Calcul!$B$4</definedName>
    <definedName name="TauxTVA">Calcul!$B$2</definedName>
    <definedName name="TitreColonne1">Données[[#Headers],[DESCRIPTION]]</definedName>
    <definedName name="TVA">Calcul!$B$3</definedName>
    <definedName name="ZonteTitreLigne1..D4">Facturation!$C$2</definedName>
    <definedName name="ZonteTitreLigne2..D11">Facturation!$C$5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" i="10" l="1"/>
  <c r="D21" i="10"/>
  <c r="D23" i="10" l="1"/>
  <c r="D25" i="10" s="1"/>
  <c r="J2" i="9" l="1"/>
  <c r="I2" i="9"/>
  <c r="H2" i="9"/>
  <c r="G2" i="9"/>
  <c r="C2" i="9"/>
  <c r="B3" i="8" l="1"/>
  <c r="B4" i="8" s="1"/>
</calcChain>
</file>

<file path=xl/sharedStrings.xml><?xml version="1.0" encoding="utf-8"?>
<sst xmlns="http://schemas.openxmlformats.org/spreadsheetml/2006/main" count="137" uniqueCount="96">
  <si>
    <t xml:space="preserve">Nom </t>
  </si>
  <si>
    <t xml:space="preserve">Téléphone </t>
  </si>
  <si>
    <t xml:space="preserve">Email </t>
  </si>
  <si>
    <t xml:space="preserve">Ville </t>
  </si>
  <si>
    <t>Observation</t>
  </si>
  <si>
    <t>Pays</t>
  </si>
  <si>
    <t>REF-Article</t>
  </si>
  <si>
    <t>Catégorie</t>
  </si>
  <si>
    <t>Libelle</t>
  </si>
  <si>
    <t xml:space="preserve">PHT </t>
  </si>
  <si>
    <t>TVA</t>
  </si>
  <si>
    <t>Taux TVA</t>
  </si>
  <si>
    <t>PTTC</t>
  </si>
  <si>
    <t>IDAPPRO</t>
  </si>
  <si>
    <t>Date Achat</t>
  </si>
  <si>
    <t>Quantite Achetée</t>
  </si>
  <si>
    <t>Remise</t>
  </si>
  <si>
    <t>Fournisseur</t>
  </si>
  <si>
    <t xml:space="preserve">Prix Unitaire </t>
  </si>
  <si>
    <t>Montant Total Achat</t>
  </si>
  <si>
    <t>IDVENTE</t>
  </si>
  <si>
    <t>Code Facture</t>
  </si>
  <si>
    <t>Date</t>
  </si>
  <si>
    <t>Ref-article</t>
  </si>
  <si>
    <t>Quantite</t>
  </si>
  <si>
    <t>Montant TTC</t>
  </si>
  <si>
    <t xml:space="preserve">Client </t>
  </si>
  <si>
    <t>Libelle article</t>
  </si>
  <si>
    <t>PHT</t>
  </si>
  <si>
    <t>Montant TVA</t>
  </si>
  <si>
    <t>Montant HT</t>
  </si>
  <si>
    <t>TVA Unitaire</t>
  </si>
  <si>
    <t>Code facture</t>
  </si>
  <si>
    <t>Date facture</t>
  </si>
  <si>
    <t>Montant TTC hors Remise</t>
  </si>
  <si>
    <t xml:space="preserve">Remise </t>
  </si>
  <si>
    <t>Montant Final Vente</t>
  </si>
  <si>
    <t>Client</t>
  </si>
  <si>
    <t>MontantPaye</t>
  </si>
  <si>
    <t>ResteAPaye</t>
  </si>
  <si>
    <t>Statut</t>
  </si>
  <si>
    <t>Montant Paye</t>
  </si>
  <si>
    <t>Reste a payer</t>
  </si>
  <si>
    <t>Nom et prenoms</t>
  </si>
  <si>
    <t>Entree</t>
  </si>
  <si>
    <t>Sortie</t>
  </si>
  <si>
    <t>Stock disponible</t>
  </si>
  <si>
    <t xml:space="preserve"> </t>
  </si>
  <si>
    <t>Prix HT</t>
  </si>
  <si>
    <t>Bonbon</t>
  </si>
  <si>
    <t>Wadada</t>
  </si>
  <si>
    <t>Moussa Bagayoko</t>
  </si>
  <si>
    <t>60009697</t>
  </si>
  <si>
    <t>Calcul Appro</t>
  </si>
  <si>
    <t>Quantité achéte</t>
  </si>
  <si>
    <t>Prix unitaire achat</t>
  </si>
  <si>
    <t>Montant payé</t>
  </si>
  <si>
    <t>Montant achat</t>
  </si>
  <si>
    <t>APPRO-09/03/2026-113937</t>
  </si>
  <si>
    <t>TEST</t>
  </si>
  <si>
    <t>Nom de votre société</t>
  </si>
  <si>
    <t>FACTURE</t>
  </si>
  <si>
    <t>Slogan de votre société</t>
  </si>
  <si>
    <t>Date :</t>
  </si>
  <si>
    <t>Entrez la date de la facture dans cette cellule</t>
  </si>
  <si>
    <t>N° Facture :</t>
  </si>
  <si>
    <t>Description :</t>
  </si>
  <si>
    <t>Description du projet ou service</t>
  </si>
  <si>
    <t>Adresse de facturation :</t>
  </si>
  <si>
    <t>Nom</t>
  </si>
  <si>
    <t>Adresse postale</t>
  </si>
  <si>
    <t>Nom de la société</t>
  </si>
  <si>
    <t>Ville, Code postal</t>
  </si>
  <si>
    <t>Adresse</t>
  </si>
  <si>
    <t xml:space="preserve">Téléphone : </t>
  </si>
  <si>
    <t xml:space="preserve">Télécopie : </t>
  </si>
  <si>
    <t>Téléphone :</t>
  </si>
  <si>
    <t>DESCRIPTION</t>
  </si>
  <si>
    <t>MONTANT</t>
  </si>
  <si>
    <t>Article 1</t>
  </si>
  <si>
    <t>Article 2</t>
  </si>
  <si>
    <t>Article 3</t>
  </si>
  <si>
    <t>Article 4</t>
  </si>
  <si>
    <t>Article 5</t>
  </si>
  <si>
    <t>Article 6</t>
  </si>
  <si>
    <t>Article 7</t>
  </si>
  <si>
    <t>Article 8</t>
  </si>
  <si>
    <t>Article 9</t>
  </si>
  <si>
    <t>Article 10</t>
  </si>
  <si>
    <t>SOUS-TOTAL</t>
  </si>
  <si>
    <t>TAUX TVA</t>
  </si>
  <si>
    <t>TAXE DE VENTE</t>
  </si>
  <si>
    <t>AUTRES</t>
  </si>
  <si>
    <t>NOUS VOUS REMERCIONS DE VOTRE CONFIANCE.</t>
  </si>
  <si>
    <t>TOTAL</t>
  </si>
  <si>
    <t>Quantité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</si>
</sst>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7" formatCode="#,##0.00\ &quot;€&quot;;\-#,##0.00\ &quot;€&quot;"/>
    <numFmt numFmtId="164" formatCode="#,##0_ ;\-#,##0\ "/>
    <numFmt numFmtId="165" formatCode="0#&quot; &quot;##&quot; &quot;##&quot; &quot;##&quot; &quot;##"/>
    <numFmt numFmtId="166" formatCode="#,##0\ [$FCFA-2C0C]"/>
  </numFmts>
  <fonts count="1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16"/>
      <color theme="1" tint="0.24994659260841701"/>
      <name val="Calibri Light"/>
      <family val="2"/>
      <scheme val="major"/>
    </font>
    <font>
      <sz val="28"/>
      <color theme="1" tint="0.499984740745262"/>
      <name val="Calibri Light"/>
      <family val="2"/>
      <scheme val="major"/>
    </font>
    <font>
      <sz val="11"/>
      <color theme="3"/>
      <name val="Calibri"/>
      <family val="2"/>
      <scheme val="minor"/>
    </font>
    <font>
      <sz val="11"/>
      <color theme="3"/>
      <name val="Calibri Light"/>
      <family val="2"/>
      <scheme val="major"/>
    </font>
    <font>
      <sz val="11"/>
      <color theme="1" tint="0.14996795556505021"/>
      <name val="Calibri"/>
      <family val="2"/>
      <scheme val="minor"/>
    </font>
    <font>
      <sz val="11"/>
      <color theme="1" tint="0.24994659260841701"/>
      <name val="Calibri"/>
      <family val="1"/>
      <scheme val="minor"/>
    </font>
    <font>
      <b/>
      <i/>
      <sz val="11"/>
      <color theme="1" tint="0.14993743705557422"/>
      <name val="Calibri"/>
      <family val="2"/>
      <scheme val="minor"/>
    </font>
    <font>
      <sz val="12"/>
      <color theme="3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 tint="0.24994659260841701"/>
      <name val="Calibri"/>
      <family val="2"/>
      <scheme val="minor"/>
    </font>
    <font>
      <b/>
      <i/>
      <sz val="12"/>
      <color theme="1" tint="0.1499374370555742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C339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53153E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 tint="0.24994659260841701"/>
      </bottom>
      <diagonal/>
    </border>
  </borders>
  <cellStyleXfs count="16">
    <xf numFmtId="0" fontId="0" fillId="0" borderId="0"/>
    <xf numFmtId="0" fontId="1" fillId="0" borderId="0" applyNumberFormat="0" applyFill="0" applyBorder="0" applyAlignment="0" applyProtection="0"/>
    <xf numFmtId="0" fontId="5" fillId="0" borderId="0" applyNumberFormat="0" applyFill="0" applyBorder="0" applyProtection="0"/>
    <xf numFmtId="0" fontId="6" fillId="0" borderId="0" applyNumberFormat="0" applyFill="0" applyProtection="0">
      <alignment horizontal="right" vertical="center"/>
    </xf>
    <xf numFmtId="0" fontId="7" fillId="0" borderId="0">
      <alignment vertical="center" wrapText="1"/>
    </xf>
    <xf numFmtId="0" fontId="8" fillId="0" borderId="0" applyNumberFormat="0" applyFill="0" applyBorder="0" applyProtection="0">
      <alignment vertical="top"/>
    </xf>
    <xf numFmtId="0" fontId="8" fillId="0" borderId="0" applyNumberFormat="0" applyFill="0" applyBorder="0" applyProtection="0">
      <alignment wrapText="1"/>
    </xf>
    <xf numFmtId="14" fontId="8" fillId="0" borderId="0" applyFont="0" applyFill="0" applyBorder="0"/>
    <xf numFmtId="164" fontId="9" fillId="0" borderId="0" applyFont="0" applyFill="0" applyBorder="0" applyProtection="0">
      <alignment horizontal="left" vertical="top"/>
    </xf>
    <xf numFmtId="0" fontId="8" fillId="0" borderId="0" applyNumberFormat="0" applyFill="0" applyBorder="0" applyProtection="0">
      <alignment vertical="top" wrapText="1"/>
    </xf>
    <xf numFmtId="165" fontId="8" fillId="0" borderId="0" applyFill="0" applyBorder="0">
      <alignment horizontal="left" vertical="top" wrapText="1"/>
    </xf>
    <xf numFmtId="7" fontId="3" fillId="0" borderId="0" applyFont="0" applyFill="0" applyBorder="0" applyAlignment="0" applyProtection="0"/>
    <xf numFmtId="0" fontId="10" fillId="0" borderId="2" applyNumberFormat="0" applyFill="0" applyProtection="0">
      <alignment vertical="center"/>
    </xf>
    <xf numFmtId="10" fontId="9" fillId="0" borderId="0" applyFont="0" applyFill="0" applyBorder="0" applyAlignment="0" applyProtection="0"/>
    <xf numFmtId="0" fontId="11" fillId="0" borderId="0" applyNumberFormat="0" applyProtection="0">
      <alignment vertical="center" wrapText="1"/>
    </xf>
    <xf numFmtId="0" fontId="2" fillId="11" borderId="2" applyNumberFormat="0" applyAlignment="0" applyProtection="0"/>
  </cellStyleXfs>
  <cellXfs count="42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1" fillId="0" borderId="0" xfId="1"/>
    <xf numFmtId="49" fontId="0" fillId="0" borderId="0" xfId="0" applyNumberFormat="1"/>
    <xf numFmtId="49" fontId="0" fillId="6" borderId="0" xfId="0" applyNumberFormat="1" applyFill="1"/>
    <xf numFmtId="0" fontId="0" fillId="7" borderId="0" xfId="0" applyFill="1"/>
    <xf numFmtId="0" fontId="0" fillId="0" borderId="1" xfId="0" applyBorder="1"/>
    <xf numFmtId="0" fontId="0" fillId="8" borderId="1" xfId="0" applyFill="1" applyBorder="1"/>
    <xf numFmtId="0" fontId="0" fillId="9" borderId="1" xfId="0" applyFill="1" applyBorder="1"/>
    <xf numFmtId="14" fontId="0" fillId="0" borderId="0" xfId="0" applyNumberFormat="1"/>
    <xf numFmtId="0" fontId="4" fillId="10" borderId="0" xfId="0" applyFont="1" applyFill="1"/>
    <xf numFmtId="0" fontId="5" fillId="0" borderId="0" xfId="2"/>
    <xf numFmtId="0" fontId="7" fillId="0" borderId="0" xfId="4">
      <alignment vertical="center" wrapText="1"/>
    </xf>
    <xf numFmtId="0" fontId="8" fillId="0" borderId="0" xfId="5">
      <alignment vertical="top"/>
    </xf>
    <xf numFmtId="0" fontId="8" fillId="0" borderId="0" xfId="6">
      <alignment wrapText="1"/>
    </xf>
    <xf numFmtId="164" fontId="8" fillId="0" borderId="0" xfId="8" applyFont="1">
      <alignment horizontal="left" vertical="top"/>
    </xf>
    <xf numFmtId="0" fontId="8" fillId="0" borderId="0" xfId="9">
      <alignment vertical="top" wrapText="1"/>
    </xf>
    <xf numFmtId="165" fontId="8" fillId="0" borderId="0" xfId="10">
      <alignment horizontal="left" vertical="top" wrapText="1"/>
    </xf>
    <xf numFmtId="0" fontId="12" fillId="0" borderId="0" xfId="4" applyFont="1" applyFill="1" applyBorder="1" applyAlignment="1">
      <alignment vertical="center" wrapText="1"/>
    </xf>
    <xf numFmtId="0" fontId="12" fillId="0" borderId="0" xfId="4" applyFont="1" applyFill="1" applyBorder="1" applyAlignment="1">
      <alignment horizontal="center"/>
    </xf>
    <xf numFmtId="0" fontId="12" fillId="0" borderId="0" xfId="4" applyFont="1">
      <alignment vertical="center" wrapText="1"/>
    </xf>
    <xf numFmtId="0" fontId="14" fillId="0" borderId="2" xfId="12" applyFont="1">
      <alignment vertical="center"/>
    </xf>
    <xf numFmtId="0" fontId="15" fillId="0" borderId="0" xfId="14" applyFont="1">
      <alignment vertical="center" wrapText="1"/>
    </xf>
    <xf numFmtId="0" fontId="16" fillId="11" borderId="2" xfId="15" applyFont="1" applyAlignment="1">
      <alignment vertical="center"/>
    </xf>
    <xf numFmtId="0" fontId="12" fillId="0" borderId="0" xfId="4" applyFont="1" applyFill="1" applyBorder="1">
      <alignment vertical="center" wrapText="1"/>
    </xf>
    <xf numFmtId="0" fontId="12" fillId="0" borderId="0" xfId="4" applyFont="1" applyFill="1" applyBorder="1" applyAlignment="1">
      <alignment horizontal="right" vertical="center"/>
    </xf>
    <xf numFmtId="14" fontId="8" fillId="0" borderId="0" xfId="7" applyFont="1"/>
    <xf numFmtId="0" fontId="8" fillId="0" borderId="0" xfId="9" applyFont="1">
      <alignment vertical="top" wrapText="1"/>
    </xf>
    <xf numFmtId="165" fontId="8" fillId="0" borderId="0" xfId="10" applyFont="1">
      <alignment horizontal="left" vertical="top" wrapText="1"/>
    </xf>
    <xf numFmtId="166" fontId="13" fillId="0" borderId="0" xfId="11" applyNumberFormat="1" applyFont="1" applyFill="1" applyBorder="1" applyAlignment="1">
      <alignment vertical="center" wrapText="1"/>
    </xf>
    <xf numFmtId="166" fontId="14" fillId="0" borderId="2" xfId="11" applyNumberFormat="1" applyFont="1" applyBorder="1" applyAlignment="1">
      <alignment vertical="center"/>
    </xf>
    <xf numFmtId="166" fontId="14" fillId="0" borderId="2" xfId="13" applyNumberFormat="1" applyFont="1" applyBorder="1" applyAlignment="1">
      <alignment vertical="center"/>
    </xf>
    <xf numFmtId="166" fontId="16" fillId="11" borderId="2" xfId="11" applyNumberFormat="1" applyFont="1" applyFill="1" applyBorder="1" applyAlignment="1">
      <alignment vertical="center"/>
    </xf>
    <xf numFmtId="0" fontId="6" fillId="0" borderId="0" xfId="3">
      <alignment horizontal="right" vertical="center"/>
    </xf>
    <xf numFmtId="0" fontId="7" fillId="0" borderId="0" xfId="4">
      <alignment vertical="center" wrapText="1"/>
    </xf>
    <xf numFmtId="0" fontId="8" fillId="0" borderId="0" xfId="9">
      <alignment vertical="top" wrapText="1"/>
    </xf>
    <xf numFmtId="0" fontId="12" fillId="0" borderId="0" xfId="4" applyFont="1">
      <alignment vertical="center" wrapText="1"/>
    </xf>
    <xf numFmtId="0" fontId="17" fillId="12" borderId="1" xfId="0" applyFont="1" applyFill="1" applyBorder="1"/>
  </cellXfs>
  <cellStyles count="16">
    <cellStyle name="Commentaire 2" xfId="14"/>
    <cellStyle name="Date" xfId="7"/>
    <cellStyle name="Lien hypertexte" xfId="1" builtinId="8"/>
    <cellStyle name="Milliers 2" xfId="8"/>
    <cellStyle name="Monétaire 2" xfId="11"/>
    <cellStyle name="Normal" xfId="0" builtinId="0"/>
    <cellStyle name="Normal 2" xfId="4"/>
    <cellStyle name="Phone" xfId="10"/>
    <cellStyle name="Pourcentage 2" xfId="13"/>
    <cellStyle name="Texte explicatif 2" xfId="5"/>
    <cellStyle name="Titre 2" xfId="3"/>
    <cellStyle name="Titre 1 2" xfId="2"/>
    <cellStyle name="Titre 2 2" xfId="6"/>
    <cellStyle name="Titre 3 2" xfId="9"/>
    <cellStyle name="Titre 4 2" xfId="12"/>
    <cellStyle name="Total 2" xfId="15"/>
  </cellStyles>
  <dxfs count="19">
    <dxf>
      <font>
        <strike val="0"/>
        <outline val="0"/>
        <shadow val="0"/>
        <u val="none"/>
        <vertAlign val="baseline"/>
        <sz val="12"/>
        <name val="Calibri"/>
        <scheme val="minor"/>
      </font>
      <numFmt numFmtId="166" formatCode="#,##0\ [$FCFA-2C0C]"/>
    </dxf>
    <dxf>
      <font>
        <strike val="0"/>
        <outline val="0"/>
        <shadow val="0"/>
        <u val="none"/>
        <vertAlign val="baseline"/>
        <sz val="12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1499679555650502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theme="3"/>
        <name val="Calibri"/>
        <scheme val="minor"/>
      </font>
    </dxf>
    <dxf>
      <fill>
        <patternFill patternType="solid">
          <fgColor indexed="64"/>
          <bgColor theme="5" tint="-0.249977111117893"/>
        </patternFill>
      </fill>
    </dxf>
    <dxf>
      <fill>
        <patternFill patternType="solid">
          <fgColor indexed="64"/>
          <bgColor rgb="FF002060"/>
        </patternFill>
      </fill>
    </dxf>
    <dxf>
      <fill>
        <patternFill patternType="solid">
          <fgColor indexed="64"/>
          <bgColor theme="5" tint="-0.249977111117893"/>
        </patternFill>
      </fill>
    </dxf>
    <dxf>
      <fill>
        <patternFill patternType="solid">
          <fgColor indexed="64"/>
          <bgColor theme="9" tint="-0.499984740745262"/>
        </patternFill>
      </fill>
    </dxf>
    <dxf>
      <fill>
        <patternFill patternType="solid">
          <fgColor indexed="64"/>
          <bgColor rgb="FFCC3399"/>
        </patternFill>
      </fill>
    </dxf>
    <dxf>
      <numFmt numFmtId="30" formatCode="@"/>
    </dxf>
    <dxf>
      <numFmt numFmtId="30" formatCode="@"/>
    </dxf>
    <dxf>
      <fill>
        <patternFill patternType="solid">
          <fgColor indexed="64"/>
          <bgColor theme="8" tint="-0.499984740745262"/>
        </patternFill>
      </fill>
    </dxf>
    <dxf>
      <font>
        <b val="0"/>
        <i val="0"/>
        <color theme="1" tint="0.34998626667073579"/>
      </font>
      <fill>
        <patternFill patternType="solid">
          <fgColor theme="4" tint="0.79995117038483843"/>
          <bgColor theme="0" tint="-4.9989318521683403E-2"/>
        </patternFill>
      </fill>
    </dxf>
    <dxf>
      <font>
        <b/>
        <i val="0"/>
        <color theme="1" tint="0.34998626667073579"/>
      </font>
    </dxf>
    <dxf>
      <font>
        <b/>
        <i val="0"/>
        <color theme="1" tint="0.34998626667073579"/>
      </font>
      <fill>
        <patternFill patternType="none">
          <bgColor auto="1"/>
        </patternFill>
      </fill>
      <border>
        <left/>
        <right/>
        <top style="medium">
          <color theme="1" tint="0.24994659260841701"/>
        </top>
        <bottom style="medium">
          <color theme="1" tint="0.24994659260841701"/>
        </bottom>
      </border>
    </dxf>
    <dxf>
      <font>
        <color theme="1" tint="0.34998626667073579"/>
      </font>
      <fill>
        <patternFill>
          <bgColor theme="0" tint="-0.14996795556505021"/>
        </patternFill>
      </fill>
      <border>
        <left/>
        <right/>
        <top style="medium">
          <color theme="1" tint="0.24994659260841701"/>
        </top>
        <bottom style="medium">
          <color theme="1" tint="0.24994659260841701"/>
        </bottom>
      </border>
    </dxf>
    <dxf>
      <font>
        <b val="0"/>
        <i val="0"/>
        <color theme="1" tint="0.34998626667073579"/>
      </font>
      <border>
        <left/>
        <right/>
        <top style="medium">
          <color theme="1" tint="0.24994659260841701"/>
        </top>
        <bottom style="medium">
          <color theme="1" tint="0.24994659260841701"/>
        </bottom>
        <horizontal style="thin">
          <color theme="1" tint="0.24994659260841701"/>
        </horizontal>
      </border>
    </dxf>
  </dxfs>
  <tableStyles count="1" defaultTableStyle="TableStyleMedium2" defaultPivotStyle="PivotStyleLight16">
    <tableStyle name="Invoice with Sales Tax" pivot="0" count="5">
      <tableStyleElement type="wholeTable" dxfId="18"/>
      <tableStyleElement type="headerRow" dxfId="17"/>
      <tableStyleElement type="totalRow" dxfId="16"/>
      <tableStyleElement type="lastColumn" dxfId="15"/>
      <tableStyleElement type="firstRowStripe" dxfId="14"/>
    </tableStyle>
  </tableStyles>
  <colors>
    <mruColors>
      <color rgb="FF53153E"/>
      <color rgb="FFCC0099"/>
      <color rgb="FFD60093"/>
      <color rgb="FFCC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2</xdr:row>
      <xdr:rowOff>171450</xdr:rowOff>
    </xdr:from>
    <xdr:to>
      <xdr:col>2</xdr:col>
      <xdr:colOff>361950</xdr:colOff>
      <xdr:row>6</xdr:row>
      <xdr:rowOff>19050</xdr:rowOff>
    </xdr:to>
    <xdr:sp macro="[0]!AfficheTableFournisseur" textlink="">
      <xdr:nvSpPr>
        <xdr:cNvPr id="2" name="Rectangle à coins arrondis 1"/>
        <xdr:cNvSpPr/>
      </xdr:nvSpPr>
      <xdr:spPr>
        <a:xfrm>
          <a:off x="171450" y="552450"/>
          <a:ext cx="2209800" cy="609600"/>
        </a:xfrm>
        <a:prstGeom prst="roundRect">
          <a:avLst>
            <a:gd name="adj" fmla="val 36979"/>
          </a:avLst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FOURNISSEURS</a:t>
          </a:r>
        </a:p>
      </xdr:txBody>
    </xdr:sp>
    <xdr:clientData/>
  </xdr:twoCellAnchor>
  <xdr:twoCellAnchor>
    <xdr:from>
      <xdr:col>0</xdr:col>
      <xdr:colOff>209550</xdr:colOff>
      <xdr:row>7</xdr:row>
      <xdr:rowOff>66675</xdr:rowOff>
    </xdr:from>
    <xdr:to>
      <xdr:col>2</xdr:col>
      <xdr:colOff>361950</xdr:colOff>
      <xdr:row>10</xdr:row>
      <xdr:rowOff>76200</xdr:rowOff>
    </xdr:to>
    <xdr:sp macro="[0]!AfficheTableClient" textlink="">
      <xdr:nvSpPr>
        <xdr:cNvPr id="3" name="Rectangle à coins arrondis 2"/>
        <xdr:cNvSpPr/>
      </xdr:nvSpPr>
      <xdr:spPr>
        <a:xfrm>
          <a:off x="209550" y="1400175"/>
          <a:ext cx="2171700" cy="581025"/>
        </a:xfrm>
        <a:prstGeom prst="roundRect">
          <a:avLst>
            <a:gd name="adj" fmla="val 30000"/>
          </a:avLst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CLIENTS</a:t>
          </a:r>
        </a:p>
      </xdr:txBody>
    </xdr:sp>
    <xdr:clientData/>
  </xdr:twoCellAnchor>
  <xdr:twoCellAnchor>
    <xdr:from>
      <xdr:col>0</xdr:col>
      <xdr:colOff>209550</xdr:colOff>
      <xdr:row>11</xdr:row>
      <xdr:rowOff>142875</xdr:rowOff>
    </xdr:from>
    <xdr:to>
      <xdr:col>2</xdr:col>
      <xdr:colOff>742950</xdr:colOff>
      <xdr:row>14</xdr:row>
      <xdr:rowOff>171450</xdr:rowOff>
    </xdr:to>
    <xdr:sp macro="[0]!AfficheTableArticle" textlink="">
      <xdr:nvSpPr>
        <xdr:cNvPr id="4" name="Rectangle à coins arrondis 3"/>
        <xdr:cNvSpPr/>
      </xdr:nvSpPr>
      <xdr:spPr>
        <a:xfrm>
          <a:off x="209550" y="2238375"/>
          <a:ext cx="2552700" cy="600075"/>
        </a:xfrm>
        <a:prstGeom prst="roundRect">
          <a:avLst>
            <a:gd name="adj" fmla="val 34370"/>
          </a:avLst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ARTICLES</a:t>
          </a:r>
        </a:p>
      </xdr:txBody>
    </xdr:sp>
    <xdr:clientData/>
  </xdr:twoCellAnchor>
  <xdr:twoCellAnchor>
    <xdr:from>
      <xdr:col>0</xdr:col>
      <xdr:colOff>228600</xdr:colOff>
      <xdr:row>15</xdr:row>
      <xdr:rowOff>95250</xdr:rowOff>
    </xdr:from>
    <xdr:to>
      <xdr:col>2</xdr:col>
      <xdr:colOff>723900</xdr:colOff>
      <xdr:row>18</xdr:row>
      <xdr:rowOff>85725</xdr:rowOff>
    </xdr:to>
    <xdr:sp macro="[0]!AfficheTableAppro" textlink="">
      <xdr:nvSpPr>
        <xdr:cNvPr id="5" name="Rectangle à coins arrondis 4"/>
        <xdr:cNvSpPr/>
      </xdr:nvSpPr>
      <xdr:spPr>
        <a:xfrm>
          <a:off x="228600" y="2952750"/>
          <a:ext cx="2514600" cy="561975"/>
        </a:xfrm>
        <a:prstGeom prst="roundRect">
          <a:avLst>
            <a:gd name="adj" fmla="val 31921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APPROVISIONNEMENT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2</xdr:row>
      <xdr:rowOff>63314</xdr:rowOff>
    </xdr:from>
    <xdr:to>
      <xdr:col>1</xdr:col>
      <xdr:colOff>1319338</xdr:colOff>
      <xdr:row>4</xdr:row>
      <xdr:rowOff>104961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882464"/>
          <a:ext cx="1271713" cy="61314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6" name="TbFournisseur" displayName="TbFournisseur" ref="A1:F2" totalsRowShown="0" headerRowDxfId="13">
  <autoFilter ref="A1:F2"/>
  <tableColumns count="6">
    <tableColumn id="1" name="Nom "/>
    <tableColumn id="2" name="Téléphone " dataDxfId="12"/>
    <tableColumn id="3" name="Email " dataCellStyle="Lien hypertexte"/>
    <tableColumn id="4" name="Ville "/>
    <tableColumn id="5" name="Pays"/>
    <tableColumn id="6" name="Observation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id="5" name="TbClient" displayName="TbClient" ref="A1:F2" insertRow="1" totalsRowShown="0">
  <autoFilter ref="A1:F2"/>
  <tableColumns count="6">
    <tableColumn id="1" name="Nom et prenoms"/>
    <tableColumn id="2" name="Téléphone " dataDxfId="11"/>
    <tableColumn id="3" name="Email "/>
    <tableColumn id="4" name="Ville "/>
    <tableColumn id="5" name="Pays"/>
    <tableColumn id="6" name="Observation"/>
  </tableColumns>
  <tableStyleInfo name="TableStyleMedium21" showFirstColumn="0" showLastColumn="0" showRowStripes="1" showColumnStripes="0"/>
</table>
</file>

<file path=xl/tables/table3.xml><?xml version="1.0" encoding="utf-8"?>
<table xmlns="http://schemas.openxmlformats.org/spreadsheetml/2006/main" id="4" name="TbArticles" displayName="TbArticles" ref="A1:K2" totalsRowShown="0" headerRowDxfId="10">
  <autoFilter ref="A1:K2"/>
  <tableColumns count="11">
    <tableColumn id="1" name="REF-Article"/>
    <tableColumn id="2" name="Catégorie"/>
    <tableColumn id="3" name="Libelle"/>
    <tableColumn id="4" name="PHT "/>
    <tableColumn id="5" name="Taux TVA"/>
    <tableColumn id="6" name="TVA"/>
    <tableColumn id="7" name="PTTC"/>
    <tableColumn id="11" name="Observation"/>
    <tableColumn id="8" name="Entree"/>
    <tableColumn id="9" name="Sortie"/>
    <tableColumn id="10" name="Stock disponible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id="3" name="TbApprovisionnement" displayName="TbApprovisionnement" ref="A1:L2" totalsRowShown="0" headerRowDxfId="9">
  <autoFilter ref="A1:L2"/>
  <tableColumns count="12">
    <tableColumn id="1" name="IDAPPRO"/>
    <tableColumn id="3" name="REF-Article"/>
    <tableColumn id="4" name="Libelle article"/>
    <tableColumn id="5" name="Date Achat"/>
    <tableColumn id="6" name="Quantite Achetée"/>
    <tableColumn id="7" name="Prix Unitaire "/>
    <tableColumn id="8" name="Remise"/>
    <tableColumn id="9" name="Montant Total Achat"/>
    <tableColumn id="10" name="Montant Paye"/>
    <tableColumn id="11" name="Reste a payer"/>
    <tableColumn id="12" name="Fournisseur"/>
    <tableColumn id="13" name="Observation"/>
  </tableColumns>
  <tableStyleInfo name="TableStyleMedium21" showFirstColumn="0" showLastColumn="0" showRowStripes="1" showColumnStripes="0"/>
</table>
</file>

<file path=xl/tables/table5.xml><?xml version="1.0" encoding="utf-8"?>
<table xmlns="http://schemas.openxmlformats.org/spreadsheetml/2006/main" id="2" name="TbVente" displayName="TbVente" ref="A1:N2" totalsRowShown="0" headerRowDxfId="8">
  <autoFilter ref="A1:N2"/>
  <tableColumns count="14">
    <tableColumn id="1" name="IDVENTE"/>
    <tableColumn id="2" name="Code Facture"/>
    <tableColumn id="3" name="Date"/>
    <tableColumn id="4" name="Ref-article"/>
    <tableColumn id="5" name="Libelle article"/>
    <tableColumn id="6" name="Quantite"/>
    <tableColumn id="7" name="PHT"/>
    <tableColumn id="8" name="Taux TVA"/>
    <tableColumn id="9" name="TVA Unitaire"/>
    <tableColumn id="10" name="Montant HT"/>
    <tableColumn id="11" name="Montant TVA"/>
    <tableColumn id="12" name="Montant TTC"/>
    <tableColumn id="13" name="Client "/>
    <tableColumn id="14" name="Observation"/>
  </tableColumns>
  <tableStyleInfo name="TableStyleMedium17" showFirstColumn="0" showLastColumn="0" showRowStripes="1" showColumnStripes="0"/>
</table>
</file>

<file path=xl/tables/table6.xml><?xml version="1.0" encoding="utf-8"?>
<table xmlns="http://schemas.openxmlformats.org/spreadsheetml/2006/main" id="1" name="TbFacture" displayName="TbFacture" ref="A1:L2" totalsRowShown="0" headerRowDxfId="7">
  <autoFilter ref="A1:L2"/>
  <tableColumns count="12">
    <tableColumn id="1" name="Code facture"/>
    <tableColumn id="2" name="Date facture"/>
    <tableColumn id="3" name="Montant HT"/>
    <tableColumn id="4" name="Montant TVA"/>
    <tableColumn id="5" name="Montant TTC hors Remise"/>
    <tableColumn id="6" name="Remise "/>
    <tableColumn id="7" name="Montant Final Vente"/>
    <tableColumn id="10" name="MontantPaye"/>
    <tableColumn id="11" name="ResteAPaye"/>
    <tableColumn id="12" name="Statut"/>
    <tableColumn id="8" name="Client"/>
    <tableColumn id="9" name="Observation"/>
  </tableColumns>
  <tableStyleInfo name="TableStyleMedium21" showFirstColumn="0" showLastColumn="0" showRowStripes="1" showColumnStripes="0"/>
</table>
</file>

<file path=xl/tables/table7.xml><?xml version="1.0" encoding="utf-8"?>
<table xmlns="http://schemas.openxmlformats.org/spreadsheetml/2006/main" id="7" name="TbVente8" displayName="TbVente8" ref="A1:K2" totalsRowShown="0" headerRowDxfId="6">
  <autoFilter ref="A1:K2"/>
  <tableColumns count="11">
    <tableColumn id="1" name="IDVENTE"/>
    <tableColumn id="4" name="Ref-article"/>
    <tableColumn id="5" name="Libelle article">
      <calculatedColumnFormula>IFERROR(VLOOKUP(B2,Articles!$A:$K,3,FALSE),"")</calculatedColumnFormula>
    </tableColumn>
    <tableColumn id="6" name="Quantite"/>
    <tableColumn id="7" name="PHT"/>
    <tableColumn id="8" name="Taux TVA"/>
    <tableColumn id="9" name="TVA Unitaire">
      <calculatedColumnFormula>(TbVente8[PHT]*TbVente8[Taux TVA])/100</calculatedColumnFormula>
    </tableColumn>
    <tableColumn id="10" name="Montant HT">
      <calculatedColumnFormula>TbVente8[Quantite]*TbVente8[PHT]</calculatedColumnFormula>
    </tableColumn>
    <tableColumn id="11" name="Montant TVA">
      <calculatedColumnFormula>TbVente8[TVA Unitaire]*TbVente8[Quantite]</calculatedColumnFormula>
    </tableColumn>
    <tableColumn id="12" name="Montant TTC">
      <calculatedColumnFormula>TbVente8[Montant HT]+TbVente8[Montant TVA]</calculatedColumnFormula>
    </tableColumn>
    <tableColumn id="14" name="Observation"/>
  </tableColumns>
  <tableStyleInfo name="TableStyleMedium17" showFirstColumn="0" showLastColumn="0" showRowStripes="1" showColumnStripes="0"/>
</table>
</file>

<file path=xl/tables/table8.xml><?xml version="1.0" encoding="utf-8"?>
<table xmlns="http://schemas.openxmlformats.org/spreadsheetml/2006/main" id="8" name="Données" displayName="Données" ref="B10:D20" headerRowDxfId="5" dataDxfId="4" totalsRowDxfId="3">
  <tableColumns count="3">
    <tableColumn id="1" name="DESCRIPTION" totalsRowLabel="Total" dataDxfId="2"/>
    <tableColumn id="3" name=" " dataDxfId="1"/>
    <tableColumn id="4" name="MONTANT" totalsRowFunction="count" dataDxfId="0"/>
  </tableColumns>
  <tableStyleInfo name="Invoice with Sales Tax" showFirstColumn="0" showLastColumn="0" showRowStripes="1" showColumnStripes="0"/>
  <extLst>
    <ext xmlns:x14="http://schemas.microsoft.com/office/spreadsheetml/2009/9/main" uri="{504A1905-F514-4f6f-8877-14C23A59335A}">
      <x14:table altTextSummary="Enter invoice item descriptions and amounts. Subtotal is automatically calculated at end of table"/>
    </ext>
  </extLst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Accueil">
    <tabColor rgb="FFC00000"/>
  </sheetPr>
  <dimension ref="C22:H25"/>
  <sheetViews>
    <sheetView workbookViewId="0">
      <selection activeCell="E24" sqref="E24"/>
    </sheetView>
  </sheetViews>
  <sheetFormatPr baseColWidth="10" defaultRowHeight="15" x14ac:dyDescent="0.25"/>
  <cols>
    <col min="1" max="1" width="18.85546875" bestFit="1" customWidth="1"/>
  </cols>
  <sheetData>
    <row r="22" spans="3:8" x14ac:dyDescent="0.25">
      <c r="H22" t="s">
        <v>47</v>
      </c>
    </row>
    <row r="24" spans="3:8" x14ac:dyDescent="0.25">
      <c r="C24" t="s">
        <v>47</v>
      </c>
    </row>
    <row r="25" spans="3:8" x14ac:dyDescent="0.25">
      <c r="D25" t="s">
        <v>47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Fournisseur">
    <tabColor theme="4" tint="-0.249977111117893"/>
  </sheetPr>
  <dimension ref="A1:F14"/>
  <sheetViews>
    <sheetView workbookViewId="0">
      <selection activeCell="H11" sqref="H11"/>
    </sheetView>
  </sheetViews>
  <sheetFormatPr baseColWidth="10" defaultRowHeight="15" x14ac:dyDescent="0.25"/>
  <cols>
    <col min="1" max="1" width="22.7109375" customWidth="1"/>
    <col min="2" max="2" width="19.85546875" style="7" customWidth="1"/>
    <col min="3" max="3" width="23.140625" customWidth="1"/>
    <col min="4" max="4" width="20.85546875" customWidth="1"/>
    <col min="5" max="5" width="17.5703125" customWidth="1"/>
    <col min="6" max="6" width="17.28515625" customWidth="1"/>
  </cols>
  <sheetData>
    <row r="1" spans="1:6" x14ac:dyDescent="0.25">
      <c r="A1" s="5" t="s">
        <v>0</v>
      </c>
      <c r="B1" s="8" t="s">
        <v>1</v>
      </c>
      <c r="C1" s="5" t="s">
        <v>2</v>
      </c>
      <c r="D1" s="5" t="s">
        <v>3</v>
      </c>
      <c r="E1" s="5" t="s">
        <v>5</v>
      </c>
      <c r="F1" s="5" t="s">
        <v>4</v>
      </c>
    </row>
    <row r="2" spans="1:6" x14ac:dyDescent="0.25">
      <c r="A2" t="s">
        <v>51</v>
      </c>
      <c r="B2" s="7" t="s">
        <v>52</v>
      </c>
      <c r="C2" s="6"/>
    </row>
    <row r="14" spans="1:6" x14ac:dyDescent="0.25">
      <c r="B14" s="7" t="s">
        <v>47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Clients">
    <tabColor theme="9" tint="-0.249977111117893"/>
  </sheetPr>
  <dimension ref="A1:F1"/>
  <sheetViews>
    <sheetView workbookViewId="0">
      <selection activeCell="C22" sqref="C22"/>
    </sheetView>
  </sheetViews>
  <sheetFormatPr baseColWidth="10" defaultRowHeight="15" x14ac:dyDescent="0.25"/>
  <cols>
    <col min="1" max="1" width="19.5703125" customWidth="1"/>
    <col min="2" max="2" width="20.7109375" style="7" customWidth="1"/>
    <col min="3" max="3" width="19.140625" customWidth="1"/>
    <col min="4" max="4" width="20" customWidth="1"/>
    <col min="5" max="5" width="19.28515625" customWidth="1"/>
    <col min="6" max="6" width="18.140625" customWidth="1"/>
  </cols>
  <sheetData>
    <row r="1" spans="1:6" x14ac:dyDescent="0.25">
      <c r="A1" t="s">
        <v>43</v>
      </c>
      <c r="B1" s="7" t="s">
        <v>1</v>
      </c>
      <c r="C1" t="s">
        <v>2</v>
      </c>
      <c r="D1" t="s">
        <v>3</v>
      </c>
      <c r="E1" t="s">
        <v>5</v>
      </c>
      <c r="F1" t="s">
        <v>4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Articles">
    <tabColor rgb="FFCC0099"/>
  </sheetPr>
  <dimension ref="A1:K8"/>
  <sheetViews>
    <sheetView workbookViewId="0">
      <selection activeCell="A2" sqref="A2"/>
    </sheetView>
  </sheetViews>
  <sheetFormatPr baseColWidth="10" defaultRowHeight="15" x14ac:dyDescent="0.25"/>
  <cols>
    <col min="1" max="1" width="17.5703125" customWidth="1"/>
    <col min="2" max="2" width="18" customWidth="1"/>
    <col min="3" max="3" width="16.5703125" customWidth="1"/>
    <col min="4" max="4" width="19.140625" customWidth="1"/>
    <col min="5" max="5" width="21.7109375" customWidth="1"/>
    <col min="6" max="6" width="17.85546875" customWidth="1"/>
    <col min="7" max="8" width="17.28515625" customWidth="1"/>
    <col min="9" max="9" width="17.85546875" customWidth="1"/>
    <col min="10" max="10" width="20.42578125" customWidth="1"/>
    <col min="11" max="11" width="17.85546875" bestFit="1" customWidth="1"/>
  </cols>
  <sheetData>
    <row r="1" spans="1:11" x14ac:dyDescent="0.25">
      <c r="A1" s="4" t="s">
        <v>6</v>
      </c>
      <c r="B1" s="4" t="s">
        <v>7</v>
      </c>
      <c r="C1" s="4" t="s">
        <v>8</v>
      </c>
      <c r="D1" s="4" t="s">
        <v>9</v>
      </c>
      <c r="E1" s="4" t="s">
        <v>11</v>
      </c>
      <c r="F1" s="4" t="s">
        <v>10</v>
      </c>
      <c r="G1" s="4" t="s">
        <v>12</v>
      </c>
      <c r="H1" s="4" t="s">
        <v>4</v>
      </c>
      <c r="I1" s="9" t="s">
        <v>44</v>
      </c>
      <c r="J1" s="9" t="s">
        <v>45</v>
      </c>
      <c r="K1" s="9" t="s">
        <v>46</v>
      </c>
    </row>
    <row r="2" spans="1:11" x14ac:dyDescent="0.25">
      <c r="A2">
        <v>101</v>
      </c>
      <c r="B2" t="s">
        <v>49</v>
      </c>
      <c r="C2" t="s">
        <v>50</v>
      </c>
      <c r="D2">
        <v>500</v>
      </c>
      <c r="E2">
        <v>18</v>
      </c>
      <c r="F2">
        <v>90</v>
      </c>
      <c r="G2">
        <v>590</v>
      </c>
    </row>
    <row r="8" spans="1:11" x14ac:dyDescent="0.25">
      <c r="J8" t="s">
        <v>47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Appro">
    <tabColor theme="9" tint="-0.499984740745262"/>
  </sheetPr>
  <dimension ref="A1:L2"/>
  <sheetViews>
    <sheetView workbookViewId="0">
      <selection activeCell="D8" sqref="D8"/>
    </sheetView>
  </sheetViews>
  <sheetFormatPr baseColWidth="10" defaultRowHeight="15" x14ac:dyDescent="0.25"/>
  <cols>
    <col min="1" max="1" width="17.85546875" customWidth="1"/>
    <col min="2" max="3" width="19.42578125" customWidth="1"/>
    <col min="4" max="4" width="17.42578125" customWidth="1"/>
    <col min="5" max="5" width="18.85546875" customWidth="1"/>
    <col min="6" max="7" width="17.42578125" customWidth="1"/>
    <col min="8" max="8" width="21" customWidth="1"/>
    <col min="9" max="11" width="20.42578125" customWidth="1"/>
    <col min="12" max="12" width="20.28515625" customWidth="1"/>
  </cols>
  <sheetData>
    <row r="1" spans="1:12" x14ac:dyDescent="0.25">
      <c r="A1" s="3" t="s">
        <v>13</v>
      </c>
      <c r="B1" s="3" t="s">
        <v>6</v>
      </c>
      <c r="C1" s="3" t="s">
        <v>27</v>
      </c>
      <c r="D1" s="3" t="s">
        <v>14</v>
      </c>
      <c r="E1" s="3" t="s">
        <v>15</v>
      </c>
      <c r="F1" s="3" t="s">
        <v>18</v>
      </c>
      <c r="G1" s="3" t="s">
        <v>16</v>
      </c>
      <c r="H1" s="3" t="s">
        <v>19</v>
      </c>
      <c r="I1" s="3" t="s">
        <v>41</v>
      </c>
      <c r="J1" s="3" t="s">
        <v>42</v>
      </c>
      <c r="K1" s="3" t="s">
        <v>17</v>
      </c>
      <c r="L1" s="3" t="s">
        <v>4</v>
      </c>
    </row>
    <row r="2" spans="1:12" x14ac:dyDescent="0.25">
      <c r="A2" t="s">
        <v>58</v>
      </c>
      <c r="B2">
        <v>101</v>
      </c>
      <c r="C2" t="s">
        <v>50</v>
      </c>
      <c r="D2" s="13">
        <v>46090</v>
      </c>
      <c r="E2">
        <v>10</v>
      </c>
      <c r="F2">
        <v>1000</v>
      </c>
      <c r="G2">
        <v>1000</v>
      </c>
      <c r="H2">
        <v>9000</v>
      </c>
      <c r="I2">
        <v>8500</v>
      </c>
      <c r="J2">
        <v>500</v>
      </c>
      <c r="K2" t="s">
        <v>51</v>
      </c>
      <c r="L2" t="s">
        <v>59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Vente">
    <tabColor theme="5" tint="-0.249977111117893"/>
  </sheetPr>
  <dimension ref="A1:N1"/>
  <sheetViews>
    <sheetView workbookViewId="0">
      <selection activeCell="K15" sqref="K15"/>
    </sheetView>
  </sheetViews>
  <sheetFormatPr baseColWidth="10" defaultRowHeight="15" x14ac:dyDescent="0.25"/>
  <cols>
    <col min="2" max="2" width="18" customWidth="1"/>
    <col min="3" max="3" width="18.28515625" customWidth="1"/>
    <col min="4" max="5" width="15.5703125" customWidth="1"/>
    <col min="6" max="6" width="14.42578125" customWidth="1"/>
    <col min="7" max="11" width="16" customWidth="1"/>
    <col min="12" max="12" width="15.42578125" customWidth="1"/>
    <col min="13" max="13" width="14.85546875" customWidth="1"/>
    <col min="14" max="14" width="15" customWidth="1"/>
  </cols>
  <sheetData>
    <row r="1" spans="1:14" x14ac:dyDescent="0.25">
      <c r="A1" s="2" t="s">
        <v>20</v>
      </c>
      <c r="B1" s="2" t="s">
        <v>21</v>
      </c>
      <c r="C1" s="2" t="s">
        <v>22</v>
      </c>
      <c r="D1" s="2" t="s">
        <v>23</v>
      </c>
      <c r="E1" s="2" t="s">
        <v>27</v>
      </c>
      <c r="F1" s="2" t="s">
        <v>24</v>
      </c>
      <c r="G1" s="2" t="s">
        <v>28</v>
      </c>
      <c r="H1" s="2" t="s">
        <v>11</v>
      </c>
      <c r="I1" s="2" t="s">
        <v>31</v>
      </c>
      <c r="J1" s="2" t="s">
        <v>30</v>
      </c>
      <c r="K1" s="2" t="s">
        <v>29</v>
      </c>
      <c r="L1" s="2" t="s">
        <v>25</v>
      </c>
      <c r="M1" s="2" t="s">
        <v>26</v>
      </c>
      <c r="N1" s="2" t="s">
        <v>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Facture">
    <tabColor theme="3" tint="-0.499984740745262"/>
  </sheetPr>
  <dimension ref="A1:L1"/>
  <sheetViews>
    <sheetView workbookViewId="0">
      <selection activeCell="E18" sqref="E18"/>
    </sheetView>
  </sheetViews>
  <sheetFormatPr baseColWidth="10" defaultRowHeight="15" x14ac:dyDescent="0.25"/>
  <cols>
    <col min="1" max="1" width="15.28515625" customWidth="1"/>
    <col min="2" max="2" width="19.42578125" customWidth="1"/>
    <col min="3" max="3" width="16.5703125" customWidth="1"/>
    <col min="4" max="4" width="16.28515625" customWidth="1"/>
    <col min="5" max="5" width="25.5703125" customWidth="1"/>
    <col min="6" max="6" width="14.85546875" customWidth="1"/>
    <col min="7" max="7" width="22.140625" customWidth="1"/>
    <col min="8" max="8" width="24.42578125" customWidth="1"/>
    <col min="9" max="9" width="23.140625" customWidth="1"/>
    <col min="10" max="10" width="19.85546875" customWidth="1"/>
    <col min="11" max="11" width="17.5703125" customWidth="1"/>
    <col min="12" max="12" width="15.85546875" customWidth="1"/>
  </cols>
  <sheetData>
    <row r="1" spans="1:12" x14ac:dyDescent="0.25">
      <c r="A1" s="1" t="s">
        <v>32</v>
      </c>
      <c r="B1" s="1" t="s">
        <v>33</v>
      </c>
      <c r="C1" s="1" t="s">
        <v>30</v>
      </c>
      <c r="D1" s="1" t="s">
        <v>29</v>
      </c>
      <c r="E1" s="1" t="s">
        <v>34</v>
      </c>
      <c r="F1" s="1" t="s">
        <v>35</v>
      </c>
      <c r="G1" s="1" t="s">
        <v>36</v>
      </c>
      <c r="H1" s="1" t="s">
        <v>38</v>
      </c>
      <c r="I1" s="1" t="s">
        <v>39</v>
      </c>
      <c r="J1" s="1" t="s">
        <v>40</v>
      </c>
      <c r="K1" s="1" t="s">
        <v>37</v>
      </c>
      <c r="L1" s="1" t="s">
        <v>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TransitVente"/>
  <dimension ref="A1:K2"/>
  <sheetViews>
    <sheetView workbookViewId="0">
      <selection activeCell="J2" sqref="J2"/>
    </sheetView>
  </sheetViews>
  <sheetFormatPr baseColWidth="10" defaultRowHeight="15" x14ac:dyDescent="0.25"/>
  <cols>
    <col min="1" max="1" width="10.85546875" bestFit="1" customWidth="1"/>
    <col min="2" max="2" width="12.5703125" bestFit="1" customWidth="1"/>
    <col min="3" max="3" width="15.28515625" bestFit="1" customWidth="1"/>
    <col min="4" max="4" width="13.85546875" customWidth="1"/>
    <col min="5" max="5" width="13.7109375" customWidth="1"/>
    <col min="6" max="6" width="14.85546875" customWidth="1"/>
    <col min="7" max="7" width="14.5703125" bestFit="1" customWidth="1"/>
    <col min="8" max="8" width="13.7109375" bestFit="1" customWidth="1"/>
    <col min="9" max="9" width="15" bestFit="1" customWidth="1"/>
    <col min="10" max="10" width="14.5703125" bestFit="1" customWidth="1"/>
    <col min="11" max="11" width="14.140625" bestFit="1" customWidth="1"/>
  </cols>
  <sheetData>
    <row r="1" spans="1:11" x14ac:dyDescent="0.25">
      <c r="A1" s="2" t="s">
        <v>20</v>
      </c>
      <c r="B1" s="2" t="s">
        <v>23</v>
      </c>
      <c r="C1" s="2" t="s">
        <v>27</v>
      </c>
      <c r="D1" s="2" t="s">
        <v>24</v>
      </c>
      <c r="E1" s="2" t="s">
        <v>28</v>
      </c>
      <c r="F1" s="2" t="s">
        <v>11</v>
      </c>
      <c r="G1" s="14" t="s">
        <v>31</v>
      </c>
      <c r="H1" s="14" t="s">
        <v>30</v>
      </c>
      <c r="I1" s="14" t="s">
        <v>29</v>
      </c>
      <c r="J1" s="14" t="s">
        <v>25</v>
      </c>
      <c r="K1" s="2" t="s">
        <v>4</v>
      </c>
    </row>
    <row r="2" spans="1:11" x14ac:dyDescent="0.25">
      <c r="B2">
        <v>101</v>
      </c>
      <c r="C2" t="str">
        <f>IFERROR(VLOOKUP(B2,Articles!$A:$K,3,FALSE),"")</f>
        <v>Wadada</v>
      </c>
      <c r="D2">
        <v>10</v>
      </c>
      <c r="E2">
        <v>1000</v>
      </c>
      <c r="F2">
        <v>18</v>
      </c>
      <c r="G2">
        <f>(TbVente8[PHT]*TbVente8[Taux TVA])/100</f>
        <v>180</v>
      </c>
      <c r="H2">
        <f>TbVente8[Quantite]*TbVente8[PHT]</f>
        <v>10000</v>
      </c>
      <c r="I2">
        <f>TbVente8[TVA Unitaire]*TbVente8[Quantite]</f>
        <v>1800</v>
      </c>
      <c r="J2">
        <f>TbVente8[Montant HT]+TbVente8[Montant TVA]</f>
        <v>11800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Calcul"/>
  <dimension ref="A1:E13"/>
  <sheetViews>
    <sheetView tabSelected="1" workbookViewId="0">
      <selection activeCell="D14" sqref="D14"/>
    </sheetView>
  </sheetViews>
  <sheetFormatPr baseColWidth="10" defaultRowHeight="15" x14ac:dyDescent="0.25"/>
  <cols>
    <col min="1" max="1" width="19.5703125" customWidth="1"/>
    <col min="2" max="2" width="22.140625" customWidth="1"/>
    <col min="4" max="4" width="21.42578125" customWidth="1"/>
    <col min="5" max="5" width="26.7109375" customWidth="1"/>
  </cols>
  <sheetData>
    <row r="1" spans="1:5" x14ac:dyDescent="0.25">
      <c r="A1" s="11" t="s">
        <v>48</v>
      </c>
      <c r="B1" s="10">
        <v>500</v>
      </c>
      <c r="D1" s="10" t="s">
        <v>95</v>
      </c>
      <c r="E1" s="10"/>
    </row>
    <row r="2" spans="1:5" x14ac:dyDescent="0.25">
      <c r="A2" s="11" t="s">
        <v>11</v>
      </c>
      <c r="B2" s="10">
        <v>18</v>
      </c>
      <c r="D2" s="41" t="s">
        <v>30</v>
      </c>
      <c r="E2" s="41"/>
    </row>
    <row r="3" spans="1:5" x14ac:dyDescent="0.25">
      <c r="A3" s="41" t="s">
        <v>10</v>
      </c>
      <c r="B3" s="41">
        <f>ROUNDUP((B1*B2)/100,2)</f>
        <v>90</v>
      </c>
      <c r="D3" s="41" t="s">
        <v>29</v>
      </c>
      <c r="E3" s="41"/>
    </row>
    <row r="4" spans="1:5" x14ac:dyDescent="0.25">
      <c r="A4" s="41" t="s">
        <v>12</v>
      </c>
      <c r="B4" s="41">
        <f>ROUNDUP((B1+B3),2)</f>
        <v>590</v>
      </c>
      <c r="D4" s="41" t="s">
        <v>25</v>
      </c>
      <c r="E4" s="41"/>
    </row>
    <row r="7" spans="1:5" x14ac:dyDescent="0.25">
      <c r="A7" s="12" t="s">
        <v>53</v>
      </c>
      <c r="B7" s="12"/>
    </row>
    <row r="8" spans="1:5" x14ac:dyDescent="0.25">
      <c r="A8" s="10" t="s">
        <v>54</v>
      </c>
      <c r="B8" s="10">
        <v>10</v>
      </c>
    </row>
    <row r="9" spans="1:5" x14ac:dyDescent="0.25">
      <c r="A9" s="10" t="s">
        <v>55</v>
      </c>
      <c r="B9" s="10">
        <v>1000</v>
      </c>
    </row>
    <row r="10" spans="1:5" x14ac:dyDescent="0.25">
      <c r="A10" s="10" t="s">
        <v>16</v>
      </c>
      <c r="B10" s="10">
        <v>1000</v>
      </c>
    </row>
    <row r="11" spans="1:5" x14ac:dyDescent="0.25">
      <c r="A11" s="10" t="s">
        <v>57</v>
      </c>
      <c r="B11" s="10">
        <v>9000</v>
      </c>
    </row>
    <row r="12" spans="1:5" x14ac:dyDescent="0.25">
      <c r="A12" s="10" t="s">
        <v>56</v>
      </c>
      <c r="B12" s="10">
        <v>8500</v>
      </c>
    </row>
    <row r="13" spans="1:5" x14ac:dyDescent="0.25">
      <c r="A13" s="10" t="s">
        <v>42</v>
      </c>
      <c r="B13" s="10">
        <v>500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Factutation">
    <tabColor theme="1" tint="0.34998626667073579"/>
    <pageSetUpPr fitToPage="1"/>
  </sheetPr>
  <dimension ref="B1:D25"/>
  <sheetViews>
    <sheetView showGridLines="0" view="pageLayout" zoomScaleNormal="100" workbookViewId="0">
      <selection activeCell="D21" sqref="D21"/>
    </sheetView>
  </sheetViews>
  <sheetFormatPr baseColWidth="10" defaultColWidth="10.28515625" defaultRowHeight="30" customHeight="1" x14ac:dyDescent="0.25"/>
  <cols>
    <col min="1" max="1" width="4.42578125" style="16" customWidth="1"/>
    <col min="2" max="2" width="30.42578125" style="16" customWidth="1"/>
    <col min="3" max="3" width="31.85546875" style="16" customWidth="1"/>
    <col min="4" max="4" width="32.42578125" style="16" customWidth="1"/>
    <col min="5" max="5" width="1.140625" style="16" customWidth="1"/>
    <col min="6" max="6" width="6.85546875" style="16" customWidth="1"/>
    <col min="7" max="16384" width="10.28515625" style="16"/>
  </cols>
  <sheetData>
    <row r="1" spans="2:4" ht="35.1" customHeight="1" x14ac:dyDescent="0.35">
      <c r="B1" s="15" t="s">
        <v>60</v>
      </c>
      <c r="C1" s="37" t="s">
        <v>61</v>
      </c>
      <c r="D1" s="37"/>
    </row>
    <row r="2" spans="2:4" ht="30" customHeight="1" x14ac:dyDescent="0.25">
      <c r="B2" s="17" t="s">
        <v>62</v>
      </c>
      <c r="C2" s="18" t="s">
        <v>63</v>
      </c>
      <c r="D2" s="30" t="s">
        <v>64</v>
      </c>
    </row>
    <row r="3" spans="2:4" ht="15" customHeight="1" x14ac:dyDescent="0.25">
      <c r="B3" s="38"/>
      <c r="C3" s="18" t="s">
        <v>65</v>
      </c>
      <c r="D3" s="19">
        <v>100</v>
      </c>
    </row>
    <row r="4" spans="2:4" ht="30" customHeight="1" x14ac:dyDescent="0.25">
      <c r="B4" s="38"/>
      <c r="C4" s="20" t="s">
        <v>66</v>
      </c>
      <c r="D4" s="31" t="s">
        <v>67</v>
      </c>
    </row>
    <row r="5" spans="2:4" ht="15" x14ac:dyDescent="0.25">
      <c r="B5" s="38"/>
      <c r="C5" s="39" t="s">
        <v>68</v>
      </c>
      <c r="D5" s="31" t="s">
        <v>69</v>
      </c>
    </row>
    <row r="6" spans="2:4" ht="15" x14ac:dyDescent="0.25">
      <c r="B6" s="20" t="s">
        <v>70</v>
      </c>
      <c r="C6" s="39"/>
      <c r="D6" s="31" t="s">
        <v>71</v>
      </c>
    </row>
    <row r="7" spans="2:4" ht="15" x14ac:dyDescent="0.25">
      <c r="B7" s="20" t="s">
        <v>72</v>
      </c>
      <c r="C7" s="39"/>
      <c r="D7" s="31" t="s">
        <v>73</v>
      </c>
    </row>
    <row r="8" spans="2:4" ht="15" x14ac:dyDescent="0.25">
      <c r="B8" s="21" t="s">
        <v>74</v>
      </c>
      <c r="C8" s="39"/>
      <c r="D8" s="31" t="s">
        <v>72</v>
      </c>
    </row>
    <row r="9" spans="2:4" ht="39.950000000000003" customHeight="1" x14ac:dyDescent="0.25">
      <c r="B9" s="21" t="s">
        <v>75</v>
      </c>
      <c r="C9" s="39"/>
      <c r="D9" s="32" t="s">
        <v>76</v>
      </c>
    </row>
    <row r="10" spans="2:4" ht="30" customHeight="1" x14ac:dyDescent="0.25">
      <c r="B10" s="28" t="s">
        <v>77</v>
      </c>
      <c r="C10" s="23" t="s">
        <v>47</v>
      </c>
      <c r="D10" s="29" t="s">
        <v>78</v>
      </c>
    </row>
    <row r="11" spans="2:4" ht="30" customHeight="1" x14ac:dyDescent="0.25">
      <c r="B11" s="22" t="s">
        <v>79</v>
      </c>
      <c r="C11" s="23"/>
      <c r="D11" s="33">
        <v>100</v>
      </c>
    </row>
    <row r="12" spans="2:4" ht="30" customHeight="1" x14ac:dyDescent="0.25">
      <c r="B12" s="22" t="s">
        <v>80</v>
      </c>
      <c r="C12" s="23"/>
      <c r="D12" s="33">
        <v>110</v>
      </c>
    </row>
    <row r="13" spans="2:4" ht="30" customHeight="1" x14ac:dyDescent="0.25">
      <c r="B13" s="22" t="s">
        <v>81</v>
      </c>
      <c r="C13" s="23"/>
      <c r="D13" s="33">
        <v>120</v>
      </c>
    </row>
    <row r="14" spans="2:4" ht="30" customHeight="1" x14ac:dyDescent="0.25">
      <c r="B14" s="22" t="s">
        <v>82</v>
      </c>
      <c r="C14" s="23"/>
      <c r="D14" s="33">
        <v>130</v>
      </c>
    </row>
    <row r="15" spans="2:4" ht="30" customHeight="1" x14ac:dyDescent="0.25">
      <c r="B15" s="22" t="s">
        <v>83</v>
      </c>
      <c r="C15" s="23"/>
      <c r="D15" s="33">
        <v>140</v>
      </c>
    </row>
    <row r="16" spans="2:4" ht="30" customHeight="1" x14ac:dyDescent="0.25">
      <c r="B16" s="22" t="s">
        <v>84</v>
      </c>
      <c r="C16" s="23"/>
      <c r="D16" s="33">
        <v>150</v>
      </c>
    </row>
    <row r="17" spans="2:4" ht="30" customHeight="1" x14ac:dyDescent="0.25">
      <c r="B17" s="22" t="s">
        <v>85</v>
      </c>
      <c r="C17" s="23"/>
      <c r="D17" s="33">
        <v>160</v>
      </c>
    </row>
    <row r="18" spans="2:4" ht="30" customHeight="1" x14ac:dyDescent="0.25">
      <c r="B18" s="22" t="s">
        <v>86</v>
      </c>
      <c r="C18" s="23"/>
      <c r="D18" s="33">
        <v>170</v>
      </c>
    </row>
    <row r="19" spans="2:4" ht="30" customHeight="1" x14ac:dyDescent="0.25">
      <c r="B19" s="22" t="s">
        <v>87</v>
      </c>
      <c r="C19" s="23"/>
      <c r="D19" s="33">
        <v>180</v>
      </c>
    </row>
    <row r="20" spans="2:4" ht="30" customHeight="1" x14ac:dyDescent="0.25">
      <c r="B20" s="22" t="s">
        <v>88</v>
      </c>
      <c r="C20" s="23"/>
      <c r="D20" s="33">
        <v>190</v>
      </c>
    </row>
    <row r="21" spans="2:4" ht="30" customHeight="1" x14ac:dyDescent="0.25">
      <c r="B21" s="24"/>
      <c r="C21" s="25" t="s">
        <v>89</v>
      </c>
      <c r="D21" s="34">
        <f>SUBTOTAL(109,Données[MONTANT])</f>
        <v>1450</v>
      </c>
    </row>
    <row r="22" spans="2:4" ht="30" customHeight="1" x14ac:dyDescent="0.25">
      <c r="B22" s="40" t="str">
        <f>"Veuillez libeller tous les chèques à l’ordre de "&amp;B1&amp;". Pour toute question concernant cette facture, contactez Nom, Numéro de téléphone, Adresse e-mail."</f>
        <v>Veuillez libeller tous les chèques à l’ordre de Nom de votre société. Pour toute question concernant cette facture, contactez Nom, Numéro de téléphone, Adresse e-mail.</v>
      </c>
      <c r="C22" s="25" t="s">
        <v>90</v>
      </c>
      <c r="D22" s="35">
        <v>8.5999999999999993E-2</v>
      </c>
    </row>
    <row r="23" spans="2:4" ht="30" customHeight="1" x14ac:dyDescent="0.25">
      <c r="B23" s="40"/>
      <c r="C23" s="25" t="s">
        <v>91</v>
      </c>
      <c r="D23" s="34">
        <f>D21*D22</f>
        <v>124.69999999999999</v>
      </c>
    </row>
    <row r="24" spans="2:4" ht="30" customHeight="1" x14ac:dyDescent="0.25">
      <c r="B24" s="40"/>
      <c r="C24" s="25" t="s">
        <v>92</v>
      </c>
      <c r="D24" s="34">
        <v>0</v>
      </c>
    </row>
    <row r="25" spans="2:4" ht="30" customHeight="1" x14ac:dyDescent="0.25">
      <c r="B25" s="26" t="s">
        <v>93</v>
      </c>
      <c r="C25" s="27" t="s">
        <v>94</v>
      </c>
      <c r="D25" s="36">
        <f>D21+D23+D24</f>
        <v>1574.7</v>
      </c>
    </row>
  </sheetData>
  <mergeCells count="4">
    <mergeCell ref="C1:D1"/>
    <mergeCell ref="B3:B5"/>
    <mergeCell ref="C5:C9"/>
    <mergeCell ref="B22:B24"/>
  </mergeCells>
  <dataValidations count="35">
    <dataValidation allowBlank="1" showInputMessage="1" showErrorMessage="1" prompt="Ajoutez le logo de la société dans cette cellule." sqref="B3:B5"/>
    <dataValidation allowBlank="1" showInputMessage="1" showErrorMessage="1" prompt="Entrez la description du projet ou service dans cette cellule." sqref="D4"/>
    <dataValidation allowBlank="1" showInputMessage="1" showErrorMessage="1" prompt="Entrez la description du projet ou service dans la cellule à droite." sqref="C4"/>
    <dataValidation allowBlank="1" showInputMessage="1" showErrorMessage="1" prompt="Entrez le numéro de la facture dans cette cellule." sqref="D3"/>
    <dataValidation allowBlank="1" showInputMessage="1" showErrorMessage="1" prompt="Entrez le numéro de la facture dans la cellule à droite." sqref="C3"/>
    <dataValidation allowBlank="1" showInputMessage="1" showErrorMessage="1" prompt="Entrez la date de la facture dans cette cellule." sqref="D2"/>
    <dataValidation allowBlank="1" showInputMessage="1" showErrorMessage="1" prompt="Entrez la date de la facture dans la cellule à droite." sqref="C2"/>
    <dataValidation allowBlank="1" showInputMessage="1" showErrorMessage="1" prompt="Entrez un champ personnalisé dans ce titre, et les données correspondantes dans cette colonne sous ce titre." sqref="C10"/>
    <dataValidation allowBlank="1" showInputMessage="1" showErrorMessage="1" prompt="Le nom de la société est mis à jour automatiquement dans cette cellule. Ajoutez le nom, le numéro de téléphone et l’adresse e-mail de la personne à contacter dans cette cellule." sqref="B22:B24"/>
    <dataValidation allowBlank="1" showInputMessage="1" showErrorMessage="1" prompt="Le total est calculé automatiquement dans cette cellule." sqref="D25"/>
    <dataValidation allowBlank="1" showInputMessage="1" showErrorMessage="1" prompt="Le total est calculé automatiquement dans la cellule à droite." sqref="C25"/>
    <dataValidation allowBlank="1" showInputMessage="1" showErrorMessage="1" prompt="Entrez un autre montant dans cette cellule." sqref="D24"/>
    <dataValidation allowBlank="1" showInputMessage="1" showErrorMessage="1" prompt="Entrez un autre montant dans la cellule à droite." sqref="C24"/>
    <dataValidation allowBlank="1" showInputMessage="1" showErrorMessage="1" prompt="Le montant de TVA est calculé automatiquement dans cette cellule." sqref="D23"/>
    <dataValidation allowBlank="1" showInputMessage="1" showErrorMessage="1" prompt="Le montant de TVA est calculé automatiquement dans la cellule à droite." sqref="C23"/>
    <dataValidation allowBlank="1" showInputMessage="1" showErrorMessage="1" prompt="Entrez le taux de TVA dans cette cellule." sqref="D22"/>
    <dataValidation allowBlank="1" showInputMessage="1" showErrorMessage="1" prompt="Entrez le taux de TVA dans la cellule à droite." sqref="C22"/>
    <dataValidation allowBlank="1" showInputMessage="1" showErrorMessage="1" prompt="Le sous-total est calculé automatiquement dans cette cellule." sqref="D21"/>
    <dataValidation allowBlank="1" showInputMessage="1" showErrorMessage="1" prompt="Le sous-total est calculé automatiquement dans la cellule à droite." sqref="C21"/>
    <dataValidation allowBlank="1" showInputMessage="1" showErrorMessage="1" prompt="Entrez le montant dans cette colonne sous ce titre. Entrez le taux de TVA et un autre montant sous le tableau. Le sous-total, la TVA et le total sont calculés automatiquement sous cette colonne." sqref="D10"/>
    <dataValidation allowBlank="1" showInputMessage="1" showErrorMessage="1" prompt="Entrez la description dans cette colonne sous ce titre. Les totaux figurent sous cette colonne." sqref="B10"/>
    <dataValidation allowBlank="1" showInputMessage="1" showErrorMessage="1" prompt="Entrez le numéro de téléphone de la société à facturer dans cette cellule." sqref="D9"/>
    <dataValidation allowBlank="1" showInputMessage="1" showErrorMessage="1" prompt="Entrez le code postal, la ville et le pays de la société à facturer dans cette cellule." sqref="D8"/>
    <dataValidation allowBlank="1" showInputMessage="1" showErrorMessage="1" prompt="Entrez l’adresse postale de la société à facturer dans cette cellule." sqref="D7"/>
    <dataValidation allowBlank="1" showInputMessage="1" showErrorMessage="1" prompt="Entrez le nom du destinataire de la facture dans cette cellule." sqref="D5"/>
    <dataValidation allowBlank="1" showInputMessage="1" showErrorMessage="1" prompt="Entrez le nom de la société à facturer dans cette cellule." sqref="D6"/>
    <dataValidation allowBlank="1" showInputMessage="1" showErrorMessage="1" prompt="Entrez les détails de facturation dans les cellules à droite." sqref="C5:C9"/>
    <dataValidation allowBlank="1" showInputMessage="1" showErrorMessage="1" prompt="Entrez le numéro de télécopie de la société dans cette cellule." sqref="B9"/>
    <dataValidation allowBlank="1" showInputMessage="1" showErrorMessage="1" prompt="Entrez le numéro de téléphone de la société dans cette cellule." sqref="B8"/>
    <dataValidation allowBlank="1" showInputMessage="1" showErrorMessage="1" prompt="Entrez le code postal, la localité et le pays de la société dans cette cellule." sqref="B7"/>
    <dataValidation allowBlank="1" showInputMessage="1" showErrorMessage="1" prompt="Entrez l’adresse postale de la société dans cette cellule." sqref="B6"/>
    <dataValidation allowBlank="1" showInputMessage="1" showErrorMessage="1" prompt="Entrez le slogan de la société dans cette cellule, et ajoutez son logo dans la cellule en dessous." sqref="B2"/>
    <dataValidation allowBlank="1" showInputMessage="1" showErrorMessage="1" prompt="Entrez le nom de la société dans cette cellule, et son slogan dans la cellule en dessous." sqref="B1"/>
    <dataValidation allowBlank="1" showInputMessage="1" showErrorMessage="1" prompt="Le titre de cette feuille de calcul figure dans cette cellule. Entrez la date, le numéro de facture et la description du projet ou service dans les cellules C2 à D4. Entrez les détails de facturation dans les cellules C5 à D9." sqref="C1:D1"/>
    <dataValidation allowBlank="1" showInputMessage="1" showErrorMessage="1" prompt="Créez une facture avec TVA dans cette feuille de calcul. Entrez les détails de la société dans les cellules B6 à B9, et les détails de la facture dans le tableau commençant à la cellule B10. Le texte de l’info-bulle figure dans la cellule F9." sqref="A1"/>
  </dataValidations>
  <printOptions horizontalCentered="1"/>
  <pageMargins left="0.5" right="0.5" top="0.75" bottom="0.75" header="0.3" footer="0.3"/>
  <pageSetup paperSize="9" scale="86" fitToHeight="0" orientation="portrait" r:id="rId1"/>
  <headerFooter differentFirst="1">
    <oddFooter>Page &amp;P of &amp;N</oddFooter>
  </headerFooter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8</vt:i4>
      </vt:variant>
    </vt:vector>
  </HeadingPairs>
  <TitlesOfParts>
    <vt:vector size="18" baseType="lpstr">
      <vt:lpstr>Accueil</vt:lpstr>
      <vt:lpstr>Fournisseurs</vt:lpstr>
      <vt:lpstr>Clients</vt:lpstr>
      <vt:lpstr>Articles</vt:lpstr>
      <vt:lpstr>Approvisionnement</vt:lpstr>
      <vt:lpstr>Vente</vt:lpstr>
      <vt:lpstr>Facture</vt:lpstr>
      <vt:lpstr>TransitionVente</vt:lpstr>
      <vt:lpstr>Calcul</vt:lpstr>
      <vt:lpstr>Facturation</vt:lpstr>
      <vt:lpstr>Facturation!Impression_des_titres</vt:lpstr>
      <vt:lpstr>PHT</vt:lpstr>
      <vt:lpstr>PTTC</vt:lpstr>
      <vt:lpstr>TauxTVA</vt:lpstr>
      <vt:lpstr>TitreColonne1</vt:lpstr>
      <vt:lpstr>TVA</vt:lpstr>
      <vt:lpstr>ZonteTitreLigne1..D4</vt:lpstr>
      <vt:lpstr>ZonteTitreLigne2..D11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cp:lastPrinted>2026-03-22T01:34:17Z</cp:lastPrinted>
  <dcterms:created xsi:type="dcterms:W3CDTF">2026-01-18T15:47:34Z</dcterms:created>
  <dcterms:modified xsi:type="dcterms:W3CDTF">2026-03-26T20:36:23Z</dcterms:modified>
</cp:coreProperties>
</file>